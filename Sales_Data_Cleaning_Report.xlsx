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132" documentId="11_E60897F41BE170836B02CE998F75CCDC64E183C8" xr6:coauthVersionLast="47" xr6:coauthVersionMax="47" xr10:uidLastSave="{20F2AFDC-A4FE-47E8-95E7-BBAAE23A15AF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Cleaned Rep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2" l="1"/>
  <c r="H3" i="2"/>
  <c r="H4" i="2"/>
  <c r="J3" i="2"/>
  <c r="J4" i="2"/>
  <c r="J2" i="2"/>
  <c r="I3" i="2"/>
  <c r="I4" i="2"/>
  <c r="I2" i="2"/>
  <c r="E3" i="2"/>
  <c r="E4" i="2"/>
  <c r="E5" i="2"/>
  <c r="E6" i="2"/>
  <c r="E7" i="2"/>
  <c r="E8" i="2"/>
  <c r="E9" i="2"/>
  <c r="E10" i="2"/>
  <c r="E11" i="2"/>
  <c r="E2" i="2"/>
  <c r="D9" i="2"/>
  <c r="D3" i="2"/>
  <c r="D4" i="2"/>
  <c r="D5" i="2"/>
  <c r="D6" i="2"/>
  <c r="D7" i="2"/>
  <c r="D8" i="2"/>
  <c r="D10" i="2"/>
  <c r="D11" i="2"/>
  <c r="D2" i="2"/>
  <c r="C3" i="2"/>
  <c r="C4" i="2"/>
  <c r="C5" i="2"/>
  <c r="C6" i="2"/>
  <c r="C7" i="2"/>
  <c r="C8" i="2"/>
  <c r="C9" i="2"/>
  <c r="C10" i="2"/>
  <c r="C11" i="2"/>
  <c r="C2" i="2"/>
  <c r="B3" i="2"/>
  <c r="B4" i="2"/>
  <c r="B5" i="2"/>
  <c r="B6" i="2"/>
  <c r="B7" i="2"/>
  <c r="B8" i="2"/>
  <c r="B9" i="2"/>
  <c r="B10" i="2"/>
  <c r="B11" i="2"/>
  <c r="B2" i="2"/>
  <c r="A11" i="2"/>
  <c r="A3" i="2"/>
  <c r="A4" i="2"/>
  <c r="A5" i="2"/>
  <c r="A6" i="2"/>
  <c r="A7" i="2"/>
  <c r="A8" i="2"/>
  <c r="A9" i="2"/>
  <c r="A10" i="2"/>
  <c r="A2" i="2"/>
</calcChain>
</file>

<file path=xl/sharedStrings.xml><?xml version="1.0" encoding="utf-8"?>
<sst xmlns="http://schemas.openxmlformats.org/spreadsheetml/2006/main" count="37" uniqueCount="22">
  <si>
    <t>ID</t>
  </si>
  <si>
    <t>Rep Name</t>
  </si>
  <si>
    <t>Region</t>
  </si>
  <si>
    <t>Sales</t>
  </si>
  <si>
    <t>Date</t>
  </si>
  <si>
    <t>alice smith</t>
  </si>
  <si>
    <t>north</t>
  </si>
  <si>
    <t>BOB JONES</t>
  </si>
  <si>
    <t>South</t>
  </si>
  <si>
    <t>Alice Smith</t>
  </si>
  <si>
    <t>North</t>
  </si>
  <si>
    <t>carol white</t>
  </si>
  <si>
    <t>EAST</t>
  </si>
  <si>
    <t xml:space="preserve"> Bob Jones</t>
  </si>
  <si>
    <t>south</t>
  </si>
  <si>
    <t>ALICE SMITH</t>
  </si>
  <si>
    <t>East</t>
  </si>
  <si>
    <t>Bob Jones</t>
  </si>
  <si>
    <t>Carol White</t>
  </si>
  <si>
    <t>east</t>
  </si>
  <si>
    <t>Total Sales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</si>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</sst>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Report'!$H$1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'Cleaned Report'!$G$2:$G$4</c:f>
              <c:strCache>
                <c:ptCount val="3"/>
                <c:pt idx="0">
                  <c:v>Alice Smith</c:v>
                </c:pt>
                <c:pt idx="1">
                  <c:v>Bob Jones</c:v>
                </c:pt>
                <c:pt idx="2">
                  <c:v>Carol White</c:v>
                </c:pt>
              </c:strCache>
            </c:strRef>
          </c:cat>
          <c:val>
            <c:numRef>
              <c:f>'Cleaned Report'!$H$2:$H$4</c:f>
              <c:numCache>
                <c:formatCode>General</c:formatCode>
                <c:ptCount val="3"/>
                <c:pt idx="0">
                  <c:v>4050</c:v>
                </c:pt>
                <c:pt idx="1">
                  <c:v>1950</c:v>
                </c:pt>
                <c:pt idx="2">
                  <c:v>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5-49C1-BEA3-EEE4628BC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00903"/>
        <c:axId val="1551051271"/>
      </c:barChart>
      <c:catAx>
        <c:axId val="78120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051271"/>
        <c:crosses val="autoZero"/>
        <c:auto val="1"/>
        <c:lblAlgn val="ctr"/>
        <c:lblOffset val="100"/>
        <c:noMultiLvlLbl val="0"/>
      </c:catAx>
      <c:valAx>
        <c:axId val="1551051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0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6</xdr:row>
      <xdr:rowOff>9525</xdr:rowOff>
    </xdr:from>
    <xdr:to>
      <xdr:col>11</xdr:col>
      <xdr:colOff>47625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F6A04-1EAC-460A-77CD-5527249C3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E11"/>
  <sheetViews>
    <sheetView workbookViewId="0">
      <selection activeCell="E5" sqref="E5"/>
    </sheetView>
  </sheetViews>
  <sheetFormatPr defaultRowHeight="15"/>
  <cols>
    <col min="2" max="2" width="12" bestFit="1" customWidth="1"/>
    <col min="5" max="5" width="11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1200</v>
      </c>
      <c r="E2" s="1">
        <v>45662</v>
      </c>
    </row>
    <row r="3" spans="1:5">
      <c r="A3">
        <v>2</v>
      </c>
      <c r="B3" t="s">
        <v>7</v>
      </c>
      <c r="C3" t="s">
        <v>8</v>
      </c>
      <c r="D3">
        <v>850</v>
      </c>
      <c r="E3" s="1">
        <v>45664</v>
      </c>
    </row>
    <row r="4" spans="1:5">
      <c r="A4">
        <v>3</v>
      </c>
      <c r="B4" t="s">
        <v>9</v>
      </c>
      <c r="C4" t="s">
        <v>10</v>
      </c>
      <c r="D4">
        <v>1500</v>
      </c>
      <c r="E4" s="1">
        <v>45669</v>
      </c>
    </row>
    <row r="5" spans="1:5">
      <c r="A5">
        <v>4</v>
      </c>
      <c r="B5" t="s">
        <v>11</v>
      </c>
      <c r="C5" t="s">
        <v>12</v>
      </c>
      <c r="D5">
        <v>900</v>
      </c>
      <c r="E5" s="1">
        <v>45689</v>
      </c>
    </row>
    <row r="6" spans="1:5">
      <c r="A6">
        <v>5</v>
      </c>
      <c r="B6" t="s">
        <v>13</v>
      </c>
      <c r="C6" t="s">
        <v>14</v>
      </c>
      <c r="D6">
        <v>1100</v>
      </c>
      <c r="E6" s="1">
        <v>45691</v>
      </c>
    </row>
    <row r="7" spans="1:5">
      <c r="A7">
        <v>6</v>
      </c>
      <c r="B7" t="s">
        <v>15</v>
      </c>
      <c r="C7" t="s">
        <v>6</v>
      </c>
      <c r="D7">
        <v>750</v>
      </c>
      <c r="E7" s="1">
        <v>45698</v>
      </c>
    </row>
    <row r="8" spans="1:5">
      <c r="A8">
        <v>7</v>
      </c>
      <c r="B8" t="s">
        <v>11</v>
      </c>
      <c r="C8" t="s">
        <v>16</v>
      </c>
      <c r="D8">
        <v>1300</v>
      </c>
      <c r="E8" s="1">
        <v>45703</v>
      </c>
    </row>
    <row r="9" spans="1:5">
      <c r="A9">
        <v>8</v>
      </c>
      <c r="B9" t="s">
        <v>17</v>
      </c>
      <c r="C9" t="s">
        <v>8</v>
      </c>
      <c r="E9" s="1">
        <v>45706</v>
      </c>
    </row>
    <row r="10" spans="1:5">
      <c r="A10">
        <v>9</v>
      </c>
      <c r="B10" t="s">
        <v>5</v>
      </c>
      <c r="C10" t="s">
        <v>10</v>
      </c>
      <c r="D10">
        <v>600</v>
      </c>
      <c r="E10" s="1">
        <v>45717</v>
      </c>
    </row>
    <row r="11" spans="1:5">
      <c r="A11">
        <v>10</v>
      </c>
      <c r="B11" t="s">
        <v>18</v>
      </c>
      <c r="C11" t="s">
        <v>19</v>
      </c>
      <c r="D11">
        <v>1150</v>
      </c>
      <c r="E11" s="1">
        <v>45721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2E70-3B57-4B41-B322-32B4B49E8832}">
  <sheetPr>
    <tabColor rgb="FF92D050"/>
  </sheetPr>
  <dimension ref="A1:J11"/>
  <sheetViews>
    <sheetView tabSelected="1" workbookViewId="0">
      <selection activeCell="Q10" sqref="Q10"/>
    </sheetView>
  </sheetViews>
  <sheetFormatPr defaultRowHeight="15"/>
  <cols>
    <col min="1" max="1" width="3" bestFit="1" customWidth="1"/>
    <col min="2" max="2" width="11.140625" bestFit="1" customWidth="1"/>
    <col min="3" max="3" width="6.85546875" bestFit="1" customWidth="1"/>
    <col min="4" max="4" width="7.42578125" bestFit="1" customWidth="1"/>
    <col min="5" max="5" width="10.140625" bestFit="1" customWidth="1"/>
    <col min="7" max="7" width="11.140625" bestFit="1" customWidth="1"/>
    <col min="8" max="8" width="10.140625" bestFit="1" customWidth="1"/>
    <col min="9" max="9" width="11.85546875" bestFit="1" customWidth="1"/>
    <col min="10" max="10" width="6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20</v>
      </c>
      <c r="I1" t="s">
        <v>21</v>
      </c>
      <c r="J1" t="s">
        <v>2</v>
      </c>
    </row>
    <row r="2" spans="1:10">
      <c r="A2">
        <f>'Raw Data'!A2</f>
        <v>1</v>
      </c>
      <c r="B2" t="str">
        <f>TRIM(PROPER('Raw Data'!B2))</f>
        <v>Alice Smith</v>
      </c>
      <c r="C2" t="str">
        <f>PROPER('Raw Data'!C2)</f>
        <v>North</v>
      </c>
      <c r="D2">
        <f>IFERROR('Raw Data'!D2*1, "Missing")</f>
        <v>1200</v>
      </c>
      <c r="E2" s="1">
        <f>'Raw Data'!E2</f>
        <v>45662</v>
      </c>
      <c r="G2" t="s">
        <v>9</v>
      </c>
      <c r="H2">
        <f>SUMIF(B:B,G2,D:D)</f>
        <v>4050</v>
      </c>
      <c r="I2">
        <f>COUNTIF(B:B,G2)</f>
        <v>4</v>
      </c>
      <c r="J2" t="str">
        <f>IFERROR(VLOOKUP(G2,B:C,2,0), "Not Found")</f>
        <v>North</v>
      </c>
    </row>
    <row r="3" spans="1:10">
      <c r="A3">
        <f>'Raw Data'!A3</f>
        <v>2</v>
      </c>
      <c r="B3" t="str">
        <f>TRIM(PROPER('Raw Data'!B3))</f>
        <v>Bob Jones</v>
      </c>
      <c r="C3" t="str">
        <f>PROPER('Raw Data'!C3)</f>
        <v>South</v>
      </c>
      <c r="D3">
        <f>IFERROR('Raw Data'!D3*1, "Missing")</f>
        <v>850</v>
      </c>
      <c r="E3" s="1">
        <f>'Raw Data'!E3</f>
        <v>45664</v>
      </c>
      <c r="G3" t="s">
        <v>17</v>
      </c>
      <c r="H3">
        <f t="shared" ref="H3:H4" si="0">SUMIF(B:B,G3,D:D)</f>
        <v>1950</v>
      </c>
      <c r="I3">
        <f t="shared" ref="I3:I4" si="1">COUNTIF(B:B,G3)</f>
        <v>3</v>
      </c>
      <c r="J3" t="str">
        <f t="shared" ref="J3:J4" si="2">IFERROR(VLOOKUP(G3,B:C,2,0), "Not Found")</f>
        <v>South</v>
      </c>
    </row>
    <row r="4" spans="1:10">
      <c r="A4">
        <f>'Raw Data'!A4</f>
        <v>3</v>
      </c>
      <c r="B4" t="str">
        <f>TRIM(PROPER('Raw Data'!B4))</f>
        <v>Alice Smith</v>
      </c>
      <c r="C4" t="str">
        <f>PROPER('Raw Data'!C4)</f>
        <v>North</v>
      </c>
      <c r="D4">
        <f>IFERROR('Raw Data'!D4*1, "Missing")</f>
        <v>1500</v>
      </c>
      <c r="E4" s="1">
        <f>'Raw Data'!E4</f>
        <v>45669</v>
      </c>
      <c r="G4" t="s">
        <v>18</v>
      </c>
      <c r="H4">
        <f t="shared" si="0"/>
        <v>3350</v>
      </c>
      <c r="I4">
        <f t="shared" si="1"/>
        <v>3</v>
      </c>
      <c r="J4" t="str">
        <f t="shared" si="2"/>
        <v>East</v>
      </c>
    </row>
    <row r="5" spans="1:10">
      <c r="A5">
        <f>'Raw Data'!A5</f>
        <v>4</v>
      </c>
      <c r="B5" t="str">
        <f>TRIM(PROPER('Raw Data'!B5))</f>
        <v>Carol White</v>
      </c>
      <c r="C5" t="str">
        <f>PROPER('Raw Data'!C5)</f>
        <v>East</v>
      </c>
      <c r="D5">
        <f>IFERROR('Raw Data'!D5*1, "Missing")</f>
        <v>900</v>
      </c>
      <c r="E5" s="1">
        <f>'Raw Data'!E5</f>
        <v>45689</v>
      </c>
    </row>
    <row r="6" spans="1:10">
      <c r="A6">
        <f>'Raw Data'!A6</f>
        <v>5</v>
      </c>
      <c r="B6" t="str">
        <f>TRIM(PROPER('Raw Data'!B6))</f>
        <v>Bob Jones</v>
      </c>
      <c r="C6" t="str">
        <f>PROPER('Raw Data'!C6)</f>
        <v>South</v>
      </c>
      <c r="D6">
        <f>IFERROR('Raw Data'!D6*1, "Missing")</f>
        <v>1100</v>
      </c>
      <c r="E6" s="1">
        <f>'Raw Data'!E6</f>
        <v>45691</v>
      </c>
    </row>
    <row r="7" spans="1:10">
      <c r="A7">
        <f>'Raw Data'!A7</f>
        <v>6</v>
      </c>
      <c r="B7" t="str">
        <f>TRIM(PROPER('Raw Data'!B7))</f>
        <v>Alice Smith</v>
      </c>
      <c r="C7" t="str">
        <f>PROPER('Raw Data'!C7)</f>
        <v>North</v>
      </c>
      <c r="D7">
        <f>IFERROR('Raw Data'!D7*1, "Missing")</f>
        <v>750</v>
      </c>
      <c r="E7" s="1">
        <f>'Raw Data'!E7</f>
        <v>45698</v>
      </c>
    </row>
    <row r="8" spans="1:10">
      <c r="A8">
        <f>'Raw Data'!A8</f>
        <v>7</v>
      </c>
      <c r="B8" t="str">
        <f>TRIM(PROPER('Raw Data'!B8))</f>
        <v>Carol White</v>
      </c>
      <c r="C8" t="str">
        <f>PROPER('Raw Data'!C8)</f>
        <v>East</v>
      </c>
      <c r="D8">
        <f>IFERROR('Raw Data'!D8*1, "Missing")</f>
        <v>1300</v>
      </c>
      <c r="E8" s="1">
        <f>'Raw Data'!E8</f>
        <v>45703</v>
      </c>
    </row>
    <row r="9" spans="1:10">
      <c r="A9">
        <f>'Raw Data'!A9</f>
        <v>8</v>
      </c>
      <c r="B9" t="str">
        <f>TRIM(PROPER('Raw Data'!B9))</f>
        <v>Bob Jones</v>
      </c>
      <c r="C9" t="str">
        <f>PROPER('Raw Data'!C9)</f>
        <v>South</v>
      </c>
      <c r="D9" t="str">
        <f>IF('Raw Data'!D9="", "Missing", 'Raw Data'!D9)</f>
        <v>Missing</v>
      </c>
      <c r="E9" s="1">
        <f>'Raw Data'!E9</f>
        <v>45706</v>
      </c>
    </row>
    <row r="10" spans="1:10">
      <c r="A10">
        <f>'Raw Data'!A10</f>
        <v>9</v>
      </c>
      <c r="B10" t="str">
        <f>TRIM(PROPER('Raw Data'!B10))</f>
        <v>Alice Smith</v>
      </c>
      <c r="C10" t="str">
        <f>PROPER('Raw Data'!C10)</f>
        <v>North</v>
      </c>
      <c r="D10">
        <f>IFERROR('Raw Data'!D10*1, "Missing")</f>
        <v>600</v>
      </c>
      <c r="E10" s="1">
        <f>'Raw Data'!E10</f>
        <v>45717</v>
      </c>
    </row>
    <row r="11" spans="1:10">
      <c r="A11">
        <f>'Raw Data'!A11</f>
        <v>10</v>
      </c>
      <c r="B11" t="str">
        <f>TRIM(PROPER('Raw Data'!B11))</f>
        <v>Carol White</v>
      </c>
      <c r="C11" t="str">
        <f>PROPER('Raw Data'!C11)</f>
        <v>East</v>
      </c>
      <c r="D11">
        <f>IFERROR('Raw Data'!D11*1, "Missing")</f>
        <v>1150</v>
      </c>
      <c r="E11" s="1">
        <f>'Raw Data'!E11</f>
        <v>45721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Gjorgji Pecov</cp:lastModifiedBy>
  <cp:revision/>
  <dcterms:created xsi:type="dcterms:W3CDTF">2026-06-14T21:45:07Z</dcterms:created>
  <dcterms:modified xsi:type="dcterms:W3CDTF">2026-06-16T21:42:32Z</dcterms:modified>
  <cp:category/>
  <cp:contentStatus/>
</cp:coreProperties>
</file>